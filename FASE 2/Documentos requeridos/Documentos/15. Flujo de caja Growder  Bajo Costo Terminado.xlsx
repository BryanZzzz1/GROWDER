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ignac\Downloads\"/>
    </mc:Choice>
  </mc:AlternateContent>
  <xr:revisionPtr revIDLastSave="0" documentId="8_{5D05B682-F737-499A-8F81-638CA5B2FD4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lujo de Caja GROWDER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7" roundtripDataSignature="AMtx7mh9QGeFG5Gqp3kY+AwMrJGZdTOBFQ=="/>
    </ext>
  </extLst>
</workbook>
</file>

<file path=xl/calcChain.xml><?xml version="1.0" encoding="utf-8"?>
<calcChain xmlns="http://schemas.openxmlformats.org/spreadsheetml/2006/main">
  <c r="F11" i="3" l="1"/>
  <c r="E11" i="3"/>
  <c r="D11" i="3"/>
  <c r="J9" i="3" s="1"/>
  <c r="J14" i="3"/>
  <c r="J10" i="3"/>
  <c r="J8" i="3"/>
  <c r="J6" i="3"/>
  <c r="E9" i="3"/>
  <c r="E10" i="3" s="1"/>
  <c r="D10" i="3"/>
  <c r="G31" i="3"/>
  <c r="C12" i="3"/>
  <c r="D21" i="3"/>
  <c r="D23" i="3" s="1"/>
  <c r="E21" i="3"/>
  <c r="E23" i="3" s="1"/>
  <c r="F9" i="3" l="1"/>
  <c r="F10" i="3" s="1"/>
  <c r="C18" i="3"/>
  <c r="C21" i="3" s="1"/>
  <c r="J12" i="3"/>
  <c r="D12" i="3"/>
  <c r="C7" i="3" l="1"/>
  <c r="J13" i="3" s="1"/>
  <c r="J15" i="3" s="1"/>
  <c r="C23" i="3"/>
  <c r="F12" i="3"/>
  <c r="E12" i="3"/>
</calcChain>
</file>

<file path=xl/sharedStrings.xml><?xml version="1.0" encoding="utf-8"?>
<sst xmlns="http://schemas.openxmlformats.org/spreadsheetml/2006/main" count="33" uniqueCount="32">
  <si>
    <t>FORMULARIO FLUJO DE CAJA</t>
  </si>
  <si>
    <t>Todos los proyectos</t>
  </si>
  <si>
    <t>INGRESOS</t>
  </si>
  <si>
    <t>Inversión</t>
  </si>
  <si>
    <t>Egresos</t>
  </si>
  <si>
    <t>VAN</t>
  </si>
  <si>
    <t>TIR</t>
  </si>
  <si>
    <t>Servicios</t>
  </si>
  <si>
    <t>Otros</t>
  </si>
  <si>
    <t>Total Egresos</t>
  </si>
  <si>
    <t>Flujo</t>
  </si>
  <si>
    <t>Total Otros</t>
  </si>
  <si>
    <t>Inversión inicial</t>
  </si>
  <si>
    <t>Ingresos esperados</t>
  </si>
  <si>
    <t>Costos operacionales</t>
  </si>
  <si>
    <t>Flujo neto de caja</t>
  </si>
  <si>
    <t>Flujo de caja acumulado</t>
  </si>
  <si>
    <t>Concepto</t>
  </si>
  <si>
    <t>Positivo?</t>
  </si>
  <si>
    <t>Tasa de descuento</t>
  </si>
  <si>
    <t>Periodo Flujos positivos</t>
  </si>
  <si>
    <t>Payback</t>
  </si>
  <si>
    <t>Flujos positivos</t>
  </si>
  <si>
    <t>Ganancia neta</t>
  </si>
  <si>
    <t>ROI:</t>
  </si>
  <si>
    <t>Materiales para validación con usuarios</t>
  </si>
  <si>
    <t>Conectividad móvil</t>
  </si>
  <si>
    <t>Movilización / traslados</t>
  </si>
  <si>
    <t>Reserva / servicios Cloud</t>
  </si>
  <si>
    <t>Registro Google Play Console</t>
  </si>
  <si>
    <t>Dominio .cl</t>
  </si>
  <si>
    <t>Contingencia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</si>
</sst>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;[Red]&quot;$&quot;\-#,##0"/>
    <numFmt numFmtId="8" formatCode="&quot;$&quot;#,##0.00;[Red]&quot;$&quot;\-#,##0.00"/>
    <numFmt numFmtId="41" formatCode="_ * #,##0_ ;_ * \-#,##0_ ;_ * &quot;-&quot;_ ;_ @_ "/>
    <numFmt numFmtId="164" formatCode="&quot;$&quot;#,##0;[Red]\-&quot;$&quot;#,##0"/>
    <numFmt numFmtId="165" formatCode="_-&quot;$&quot;* #,##0.00_-;\-&quot;$&quot;* #,##0.00_-;_-&quot;$&quot;* &quot;-&quot;??_-;_-@_-"/>
    <numFmt numFmtId="166" formatCode="[$$]#,##0"/>
  </numFmts>
  <fonts count="1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color theme="9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E598"/>
        <bgColor rgb="FFFFE598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rgb="FF92D05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4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/>
      <right/>
      <top/>
      <bottom style="thick">
        <color auto="1"/>
      </bottom>
      <diagonal/>
    </border>
    <border>
      <left/>
      <right/>
      <top/>
      <bottom style="thick">
        <color rgb="FF000000"/>
      </bottom>
      <diagonal/>
    </border>
  </borders>
  <cellStyleXfs count="3">
    <xf numFmtId="0" fontId="0" fillId="0" borderId="0"/>
    <xf numFmtId="165" fontId="6" fillId="0" borderId="0" applyFont="0" applyFill="0" applyBorder="0" applyAlignment="0" applyProtection="0"/>
    <xf numFmtId="9" fontId="10" fillId="0" borderId="0" applyFont="0" applyFill="0" applyBorder="0" applyAlignment="0" applyProtection="0"/>
  </cellStyleXfs>
  <cellXfs count="88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41" fontId="4" fillId="0" borderId="0" xfId="0" applyNumberFormat="1" applyFont="1"/>
    <xf numFmtId="166" fontId="4" fillId="0" borderId="6" xfId="0" applyNumberFormat="1" applyFont="1" applyBorder="1"/>
    <xf numFmtId="166" fontId="4" fillId="0" borderId="7" xfId="0" applyNumberFormat="1" applyFont="1" applyBorder="1"/>
    <xf numFmtId="0" fontId="5" fillId="0" borderId="0" xfId="0" applyFont="1"/>
    <xf numFmtId="9" fontId="4" fillId="0" borderId="0" xfId="0" applyNumberFormat="1" applyFont="1"/>
    <xf numFmtId="0" fontId="4" fillId="0" borderId="12" xfId="0" applyFont="1" applyBorder="1" applyAlignment="1">
      <alignment horizontal="center"/>
    </xf>
    <xf numFmtId="0" fontId="4" fillId="2" borderId="13" xfId="0" applyFont="1" applyFill="1" applyBorder="1"/>
    <xf numFmtId="166" fontId="4" fillId="2" borderId="14" xfId="0" applyNumberFormat="1" applyFont="1" applyFill="1" applyBorder="1"/>
    <xf numFmtId="166" fontId="4" fillId="2" borderId="15" xfId="0" applyNumberFormat="1" applyFont="1" applyFill="1" applyBorder="1"/>
    <xf numFmtId="0" fontId="4" fillId="0" borderId="0" xfId="0" applyFont="1" applyAlignment="1">
      <alignment wrapText="1"/>
    </xf>
    <xf numFmtId="0" fontId="3" fillId="0" borderId="0" xfId="0" applyFont="1" applyAlignment="1">
      <alignment horizontal="left"/>
    </xf>
    <xf numFmtId="3" fontId="3" fillId="0" borderId="0" xfId="0" applyNumberFormat="1" applyFont="1" applyAlignment="1">
      <alignment horizontal="right"/>
    </xf>
    <xf numFmtId="0" fontId="3" fillId="0" borderId="0" xfId="0" applyFont="1"/>
    <xf numFmtId="3" fontId="4" fillId="0" borderId="0" xfId="0" applyNumberFormat="1" applyFont="1"/>
    <xf numFmtId="0" fontId="3" fillId="4" borderId="16" xfId="0" applyFont="1" applyFill="1" applyBorder="1"/>
    <xf numFmtId="166" fontId="3" fillId="4" borderId="8" xfId="0" applyNumberFormat="1" applyFont="1" applyFill="1" applyBorder="1"/>
    <xf numFmtId="166" fontId="3" fillId="4" borderId="9" xfId="0" applyNumberFormat="1" applyFont="1" applyFill="1" applyBorder="1"/>
    <xf numFmtId="166" fontId="3" fillId="5" borderId="4" xfId="0" applyNumberFormat="1" applyFont="1" applyFill="1" applyBorder="1" applyAlignment="1">
      <alignment horizontal="right"/>
    </xf>
    <xf numFmtId="166" fontId="7" fillId="0" borderId="4" xfId="1" applyNumberFormat="1" applyFont="1" applyBorder="1" applyAlignment="1">
      <alignment horizontal="right"/>
    </xf>
    <xf numFmtId="164" fontId="1" fillId="0" borderId="19" xfId="0" applyNumberFormat="1" applyFont="1" applyBorder="1"/>
    <xf numFmtId="0" fontId="8" fillId="8" borderId="19" xfId="0" applyFont="1" applyFill="1" applyBorder="1" applyAlignment="1">
      <alignment horizontal="center" vertical="top"/>
    </xf>
    <xf numFmtId="0" fontId="0" fillId="9" borderId="24" xfId="0" applyFill="1" applyBorder="1"/>
    <xf numFmtId="6" fontId="0" fillId="9" borderId="19" xfId="0" applyNumberFormat="1" applyFill="1" applyBorder="1"/>
    <xf numFmtId="0" fontId="0" fillId="8" borderId="24" xfId="0" applyFill="1" applyBorder="1"/>
    <xf numFmtId="6" fontId="0" fillId="8" borderId="19" xfId="0" applyNumberFormat="1" applyFill="1" applyBorder="1"/>
    <xf numFmtId="6" fontId="12" fillId="8" borderId="19" xfId="0" applyNumberFormat="1" applyFont="1" applyFill="1" applyBorder="1"/>
    <xf numFmtId="6" fontId="12" fillId="9" borderId="19" xfId="0" applyNumberFormat="1" applyFont="1" applyFill="1" applyBorder="1"/>
    <xf numFmtId="0" fontId="0" fillId="8" borderId="19" xfId="0" applyFill="1" applyBorder="1"/>
    <xf numFmtId="0" fontId="11" fillId="8" borderId="19" xfId="0" applyFont="1" applyFill="1" applyBorder="1"/>
    <xf numFmtId="0" fontId="12" fillId="8" borderId="19" xfId="0" applyFont="1" applyFill="1" applyBorder="1"/>
    <xf numFmtId="0" fontId="8" fillId="10" borderId="26" xfId="0" applyFont="1" applyFill="1" applyBorder="1"/>
    <xf numFmtId="8" fontId="12" fillId="10" borderId="20" xfId="0" applyNumberFormat="1" applyFont="1" applyFill="1" applyBorder="1"/>
    <xf numFmtId="0" fontId="8" fillId="3" borderId="27" xfId="0" applyFont="1" applyFill="1" applyBorder="1"/>
    <xf numFmtId="9" fontId="0" fillId="3" borderId="21" xfId="0" applyNumberFormat="1" applyFill="1" applyBorder="1"/>
    <xf numFmtId="0" fontId="8" fillId="10" borderId="27" xfId="0" applyFont="1" applyFill="1" applyBorder="1"/>
    <xf numFmtId="9" fontId="0" fillId="10" borderId="21" xfId="0" applyNumberFormat="1" applyFill="1" applyBorder="1"/>
    <xf numFmtId="0" fontId="0" fillId="3" borderId="21" xfId="0" applyFill="1" applyBorder="1"/>
    <xf numFmtId="0" fontId="8" fillId="10" borderId="28" xfId="0" applyFont="1" applyFill="1" applyBorder="1"/>
    <xf numFmtId="0" fontId="0" fillId="10" borderId="22" xfId="0" applyFill="1" applyBorder="1"/>
    <xf numFmtId="0" fontId="8" fillId="7" borderId="28" xfId="0" applyFont="1" applyFill="1" applyBorder="1"/>
    <xf numFmtId="0" fontId="0" fillId="0" borderId="29" xfId="0" applyBorder="1"/>
    <xf numFmtId="0" fontId="8" fillId="11" borderId="30" xfId="0" applyFont="1" applyFill="1" applyBorder="1"/>
    <xf numFmtId="6" fontId="12" fillId="11" borderId="20" xfId="0" applyNumberFormat="1" applyFont="1" applyFill="1" applyBorder="1"/>
    <xf numFmtId="0" fontId="8" fillId="12" borderId="31" xfId="0" applyFont="1" applyFill="1" applyBorder="1"/>
    <xf numFmtId="6" fontId="0" fillId="12" borderId="21" xfId="0" applyNumberFormat="1" applyFill="1" applyBorder="1"/>
    <xf numFmtId="0" fontId="8" fillId="11" borderId="31" xfId="0" applyFont="1" applyFill="1" applyBorder="1"/>
    <xf numFmtId="6" fontId="12" fillId="11" borderId="21" xfId="0" applyNumberFormat="1" applyFont="1" applyFill="1" applyBorder="1"/>
    <xf numFmtId="0" fontId="8" fillId="12" borderId="32" xfId="0" applyFont="1" applyFill="1" applyBorder="1"/>
    <xf numFmtId="9" fontId="12" fillId="12" borderId="19" xfId="2" applyFont="1" applyFill="1" applyBorder="1"/>
    <xf numFmtId="6" fontId="13" fillId="9" borderId="19" xfId="0" applyNumberFormat="1" applyFont="1" applyFill="1" applyBorder="1"/>
    <xf numFmtId="0" fontId="14" fillId="8" borderId="19" xfId="0" applyFont="1" applyFill="1" applyBorder="1"/>
    <xf numFmtId="0" fontId="2" fillId="0" borderId="0" xfId="0" applyFont="1" applyAlignment="1">
      <alignment horizontal="center"/>
    </xf>
    <xf numFmtId="0" fontId="0" fillId="0" borderId="0" xfId="0"/>
    <xf numFmtId="0" fontId="3" fillId="5" borderId="1" xfId="0" applyFont="1" applyFill="1" applyBorder="1" applyAlignment="1">
      <alignment horizontal="left"/>
    </xf>
    <xf numFmtId="0" fontId="3" fillId="5" borderId="2" xfId="0" applyFont="1" applyFill="1" applyBorder="1" applyAlignment="1">
      <alignment horizontal="left"/>
    </xf>
    <xf numFmtId="0" fontId="3" fillId="5" borderId="3" xfId="0" applyFont="1" applyFill="1" applyBorder="1" applyAlignment="1">
      <alignment horizontal="left"/>
    </xf>
    <xf numFmtId="0" fontId="4" fillId="0" borderId="24" xfId="0" applyFont="1" applyBorder="1" applyAlignment="1">
      <alignment horizontal="left" vertical="top" wrapText="1"/>
    </xf>
    <xf numFmtId="0" fontId="4" fillId="0" borderId="25" xfId="0" applyFont="1" applyBorder="1" applyAlignment="1">
      <alignment horizontal="left" vertical="top" wrapText="1"/>
    </xf>
    <xf numFmtId="0" fontId="4" fillId="0" borderId="36" xfId="0" applyFont="1" applyBorder="1" applyAlignment="1">
      <alignment horizontal="left" vertical="top" wrapText="1"/>
    </xf>
    <xf numFmtId="0" fontId="4" fillId="0" borderId="0" xfId="0" applyFont="1" applyAlignment="1">
      <alignment horizontal="left"/>
    </xf>
    <xf numFmtId="0" fontId="3" fillId="0" borderId="18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6" borderId="41" xfId="0" applyFont="1" applyFill="1" applyBorder="1" applyAlignment="1">
      <alignment horizontal="center" vertical="center"/>
    </xf>
    <xf numFmtId="0" fontId="3" fillId="6" borderId="23" xfId="0" applyFont="1" applyFill="1" applyBorder="1" applyAlignment="1">
      <alignment horizontal="center" vertical="center"/>
    </xf>
    <xf numFmtId="0" fontId="3" fillId="6" borderId="17" xfId="0" applyFont="1" applyFill="1" applyBorder="1" applyAlignment="1">
      <alignment horizontal="center" vertical="center"/>
    </xf>
    <xf numFmtId="0" fontId="4" fillId="0" borderId="1" xfId="0" applyFont="1" applyBorder="1"/>
    <xf numFmtId="0" fontId="4" fillId="0" borderId="2" xfId="0" applyFont="1" applyBorder="1"/>
    <xf numFmtId="0" fontId="4" fillId="0" borderId="40" xfId="0" applyFont="1" applyBorder="1"/>
    <xf numFmtId="0" fontId="4" fillId="0" borderId="37" xfId="0" applyFont="1" applyBorder="1"/>
    <xf numFmtId="0" fontId="4" fillId="0" borderId="38" xfId="0" applyFont="1" applyBorder="1"/>
    <xf numFmtId="0" fontId="4" fillId="0" borderId="39" xfId="0" applyFont="1" applyBorder="1"/>
    <xf numFmtId="0" fontId="4" fillId="0" borderId="33" xfId="0" applyFont="1" applyBorder="1"/>
    <xf numFmtId="0" fontId="4" fillId="0" borderId="34" xfId="0" applyFont="1" applyBorder="1"/>
    <xf numFmtId="0" fontId="4" fillId="0" borderId="35" xfId="0" applyFont="1" applyBorder="1"/>
    <xf numFmtId="0" fontId="0" fillId="13" borderId="41" xfId="0" applyFill="1" applyBorder="1"/>
    <xf numFmtId="0" fontId="0" fillId="13" borderId="42" xfId="0" applyFill="1" applyBorder="1"/>
    <xf numFmtId="0" fontId="0" fillId="13" borderId="43" xfId="0" applyFill="1" applyBorder="1"/>
    <xf numFmtId="0" fontId="4" fillId="0" borderId="44" xfId="0" applyFont="1" applyBorder="1" applyAlignment="1">
      <alignment horizontal="center"/>
    </xf>
    <xf numFmtId="166" fontId="4" fillId="0" borderId="4" xfId="0" applyNumberFormat="1" applyFont="1" applyBorder="1"/>
    <xf numFmtId="166" fontId="4" fillId="0" borderId="45" xfId="0" applyNumberFormat="1" applyFont="1" applyBorder="1"/>
    <xf numFmtId="0" fontId="4" fillId="13" borderId="46" xfId="0" applyFont="1" applyFill="1" applyBorder="1" applyAlignment="1">
      <alignment horizontal="center"/>
    </xf>
    <xf numFmtId="166" fontId="4" fillId="13" borderId="46" xfId="0" applyNumberFormat="1" applyFont="1" applyFill="1" applyBorder="1"/>
    <xf numFmtId="166" fontId="4" fillId="13" borderId="47" xfId="0" applyNumberFormat="1" applyFont="1" applyFill="1" applyBorder="1"/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M39"/>
  <sheetViews>
    <sheetView tabSelected="1" zoomScale="85" zoomScaleNormal="85" workbookViewId="0">
      <selection activeCell="F12" sqref="F12"/>
    </sheetView>
  </sheetViews>
  <sheetFormatPr baseColWidth="10" defaultRowHeight="14.4" x14ac:dyDescent="0.3"/>
  <cols>
    <col min="2" max="2" width="23.44140625" customWidth="1"/>
    <col min="3" max="3" width="16.44140625" customWidth="1"/>
    <col min="4" max="4" width="16.109375" customWidth="1"/>
    <col min="5" max="5" width="17.33203125" customWidth="1"/>
    <col min="6" max="6" width="13.44140625" customWidth="1"/>
    <col min="7" max="7" width="14" customWidth="1"/>
    <col min="8" max="8" width="8.6640625" customWidth="1"/>
    <col min="9" max="9" width="19.33203125" customWidth="1"/>
    <col min="10" max="10" width="15.88671875" customWidth="1"/>
    <col min="11" max="11" width="15.33203125" customWidth="1"/>
    <col min="13" max="13" width="17.44140625" customWidth="1"/>
    <col min="15" max="15" width="12.88671875" bestFit="1" customWidth="1"/>
    <col min="16" max="16" width="19.5546875" bestFit="1" customWidth="1"/>
    <col min="17" max="17" width="32.88671875" bestFit="1" customWidth="1"/>
    <col min="18" max="18" width="38" customWidth="1"/>
    <col min="19" max="19" width="17.44140625" bestFit="1" customWidth="1"/>
    <col min="20" max="20" width="15.5546875" customWidth="1"/>
    <col min="21" max="21" width="18" customWidth="1"/>
  </cols>
  <sheetData>
    <row r="1" spans="2:10" ht="18" x14ac:dyDescent="0.35">
      <c r="B1" s="54" t="s">
        <v>0</v>
      </c>
      <c r="C1" s="55"/>
      <c r="D1" s="55"/>
      <c r="E1" s="55"/>
      <c r="F1" s="55"/>
      <c r="G1" s="55"/>
      <c r="H1" s="55"/>
      <c r="I1" s="55"/>
      <c r="J1" s="55"/>
    </row>
    <row r="2" spans="2:10" ht="18" x14ac:dyDescent="0.35">
      <c r="B2" s="54" t="s">
        <v>1</v>
      </c>
      <c r="C2" s="55"/>
      <c r="D2" s="55"/>
      <c r="E2" s="55"/>
      <c r="F2" s="55"/>
      <c r="G2" s="55"/>
      <c r="H2" s="55"/>
      <c r="I2" s="55"/>
      <c r="J2" s="55"/>
    </row>
    <row r="3" spans="2:10" ht="18" x14ac:dyDescent="0.35">
      <c r="B3" s="1"/>
      <c r="C3" s="1"/>
      <c r="D3" s="1"/>
      <c r="E3" s="1"/>
      <c r="F3" s="1"/>
      <c r="G3" s="1"/>
      <c r="H3" s="1"/>
      <c r="I3" s="1"/>
    </row>
    <row r="4" spans="2:10" x14ac:dyDescent="0.3">
      <c r="B4" s="63" t="s">
        <v>2</v>
      </c>
      <c r="C4" s="63"/>
      <c r="D4" s="63"/>
      <c r="E4" s="63"/>
      <c r="F4" s="63"/>
      <c r="G4" s="63"/>
    </row>
    <row r="5" spans="2:10" x14ac:dyDescent="0.3">
      <c r="B5" s="2"/>
    </row>
    <row r="6" spans="2:10" x14ac:dyDescent="0.3">
      <c r="B6" s="23" t="s">
        <v>17</v>
      </c>
      <c r="C6" s="23">
        <v>0</v>
      </c>
      <c r="D6" s="23">
        <v>1</v>
      </c>
      <c r="E6" s="23">
        <v>2</v>
      </c>
      <c r="F6" s="23">
        <v>3</v>
      </c>
      <c r="I6" s="33" t="s">
        <v>5</v>
      </c>
      <c r="J6" s="34">
        <f>NPV(J7,D10:F10)+C10</f>
        <v>22054424.425244175</v>
      </c>
    </row>
    <row r="7" spans="2:10" x14ac:dyDescent="0.3">
      <c r="B7" s="24" t="s">
        <v>12</v>
      </c>
      <c r="C7" s="25">
        <f>-C21</f>
        <v>-366490</v>
      </c>
      <c r="D7" s="25">
        <v>0</v>
      </c>
      <c r="E7" s="25">
        <v>0</v>
      </c>
      <c r="F7" s="25">
        <v>0</v>
      </c>
      <c r="I7" s="35" t="s">
        <v>19</v>
      </c>
      <c r="J7" s="36">
        <v>0.1</v>
      </c>
    </row>
    <row r="8" spans="2:10" x14ac:dyDescent="0.3">
      <c r="B8" s="26" t="s">
        <v>13</v>
      </c>
      <c r="C8" s="27">
        <v>0</v>
      </c>
      <c r="D8" s="28">
        <v>8328000</v>
      </c>
      <c r="E8" s="28">
        <v>9160800</v>
      </c>
      <c r="F8" s="28">
        <v>9893664</v>
      </c>
      <c r="I8" s="37" t="s">
        <v>6</v>
      </c>
      <c r="J8" s="38">
        <f>IRR(C10:F10)</f>
        <v>22.652152345424412</v>
      </c>
    </row>
    <row r="9" spans="2:10" x14ac:dyDescent="0.3">
      <c r="B9" s="24" t="s">
        <v>14</v>
      </c>
      <c r="C9" s="25">
        <v>0</v>
      </c>
      <c r="D9" s="25">
        <v>-61990</v>
      </c>
      <c r="E9" s="25">
        <f>D9</f>
        <v>-61990</v>
      </c>
      <c r="F9" s="25">
        <f>E9</f>
        <v>-61990</v>
      </c>
      <c r="I9" s="35" t="s">
        <v>20</v>
      </c>
      <c r="J9" s="39">
        <f>IF(D11&gt;0,1,IF(E11&gt;0,2,IF(F11&gt;0,3,"No recupera")))</f>
        <v>1</v>
      </c>
    </row>
    <row r="10" spans="2:10" x14ac:dyDescent="0.3">
      <c r="B10" s="26" t="s">
        <v>15</v>
      </c>
      <c r="C10" s="27">
        <v>-366490</v>
      </c>
      <c r="D10" s="28">
        <f>D8+D9</f>
        <v>8266010</v>
      </c>
      <c r="E10" s="28">
        <f t="shared" ref="E10" si="0">E8+E9</f>
        <v>9098810</v>
      </c>
      <c r="F10" s="28">
        <f>F8+F9</f>
        <v>9831674</v>
      </c>
      <c r="I10" s="40" t="s">
        <v>21</v>
      </c>
      <c r="J10" s="41">
        <f>ABS(C10)/D10</f>
        <v>4.4336989672163471E-2</v>
      </c>
    </row>
    <row r="11" spans="2:10" x14ac:dyDescent="0.3">
      <c r="B11" s="24" t="s">
        <v>16</v>
      </c>
      <c r="C11" s="25">
        <v>-366490</v>
      </c>
      <c r="D11" s="52">
        <f>D10--(C11)</f>
        <v>7899520</v>
      </c>
      <c r="E11" s="29">
        <f>D11+E10</f>
        <v>16998330</v>
      </c>
      <c r="F11" s="29">
        <f>E11+F10</f>
        <v>26830004</v>
      </c>
      <c r="I11" s="42"/>
      <c r="J11" s="43"/>
    </row>
    <row r="12" spans="2:10" x14ac:dyDescent="0.3">
      <c r="B12" s="30" t="s">
        <v>18</v>
      </c>
      <c r="C12" s="31" t="str">
        <f>IF(C11&lt;0,"No","Si")</f>
        <v>No</v>
      </c>
      <c r="D12" s="53" t="str">
        <f t="shared" ref="D12:F12" si="1">IF(D11&lt;0,"No","Si")</f>
        <v>Si</v>
      </c>
      <c r="E12" s="53" t="str">
        <f t="shared" si="1"/>
        <v>Si</v>
      </c>
      <c r="F12" s="32" t="str">
        <f t="shared" si="1"/>
        <v>Si</v>
      </c>
      <c r="I12" s="44" t="s">
        <v>22</v>
      </c>
      <c r="J12" s="45">
        <f>SUM(D10:F10)</f>
        <v>27196494</v>
      </c>
    </row>
    <row r="13" spans="2:10" x14ac:dyDescent="0.3">
      <c r="C13" s="6"/>
      <c r="I13" s="46" t="s">
        <v>3</v>
      </c>
      <c r="J13" s="47">
        <f>C7</f>
        <v>-366490</v>
      </c>
    </row>
    <row r="14" spans="2:10" ht="15" thickBot="1" x14ac:dyDescent="0.35">
      <c r="C14" s="3"/>
      <c r="D14" s="3"/>
      <c r="E14" s="3"/>
      <c r="G14" s="7"/>
      <c r="I14" s="48" t="s">
        <v>23</v>
      </c>
      <c r="J14" s="49">
        <f>J12-ABS(J13)</f>
        <v>26830004</v>
      </c>
    </row>
    <row r="15" spans="2:10" ht="16.5" customHeight="1" thickTop="1" x14ac:dyDescent="0.3">
      <c r="B15" s="64" t="s">
        <v>4</v>
      </c>
      <c r="C15" s="65"/>
      <c r="D15" s="65"/>
      <c r="E15" s="66"/>
      <c r="I15" s="50" t="s">
        <v>24</v>
      </c>
      <c r="J15" s="51">
        <f>J14/ABS(J13)</f>
        <v>73.208011132636628</v>
      </c>
    </row>
    <row r="16" spans="2:10" x14ac:dyDescent="0.3">
      <c r="B16" s="79"/>
      <c r="C16" s="80"/>
      <c r="D16" s="80"/>
      <c r="E16" s="81"/>
    </row>
    <row r="17" spans="2:13" ht="15" thickBot="1" x14ac:dyDescent="0.35">
      <c r="B17" s="85"/>
      <c r="C17" s="87"/>
      <c r="D17" s="87"/>
      <c r="E17" s="86"/>
    </row>
    <row r="18" spans="2:13" ht="15" thickTop="1" x14ac:dyDescent="0.3">
      <c r="B18" s="82" t="s">
        <v>7</v>
      </c>
      <c r="C18" s="83">
        <f>G31</f>
        <v>326490</v>
      </c>
      <c r="D18" s="83">
        <v>0</v>
      </c>
      <c r="E18" s="84">
        <v>0</v>
      </c>
    </row>
    <row r="19" spans="2:13" x14ac:dyDescent="0.3">
      <c r="B19" s="8" t="s">
        <v>31</v>
      </c>
      <c r="C19" s="4">
        <v>40000</v>
      </c>
      <c r="D19" s="4">
        <v>0</v>
      </c>
      <c r="E19" s="5">
        <v>0</v>
      </c>
    </row>
    <row r="20" spans="2:13" x14ac:dyDescent="0.3">
      <c r="B20" s="8" t="s">
        <v>8</v>
      </c>
      <c r="C20" s="4">
        <v>0</v>
      </c>
      <c r="D20" s="4">
        <v>0</v>
      </c>
      <c r="E20" s="5">
        <v>0</v>
      </c>
    </row>
    <row r="21" spans="2:13" ht="22.5" customHeight="1" thickBot="1" x14ac:dyDescent="0.35">
      <c r="B21" s="9" t="s">
        <v>9</v>
      </c>
      <c r="C21" s="10">
        <f>SUM(C16:C20)</f>
        <v>366490</v>
      </c>
      <c r="D21" s="10">
        <f>SUM(D16:D20)</f>
        <v>0</v>
      </c>
      <c r="E21" s="11">
        <f>SUM(E16:E20)</f>
        <v>0</v>
      </c>
    </row>
    <row r="22" spans="2:13" ht="15.6" thickTop="1" thickBot="1" x14ac:dyDescent="0.35">
      <c r="C22" s="3"/>
      <c r="D22" s="3"/>
      <c r="E22" s="3"/>
    </row>
    <row r="23" spans="2:13" ht="15.6" thickTop="1" thickBot="1" x14ac:dyDescent="0.35">
      <c r="B23" s="17" t="s">
        <v>10</v>
      </c>
      <c r="C23" s="18" t="e">
        <f>+#REF!-C21</f>
        <v>#REF!</v>
      </c>
      <c r="D23" s="18" t="e">
        <f>+#REF!-D21</f>
        <v>#REF!</v>
      </c>
      <c r="E23" s="19" t="e">
        <f>+#REF!-E21</f>
        <v>#REF!</v>
      </c>
    </row>
    <row r="24" spans="2:13" ht="15" thickTop="1" x14ac:dyDescent="0.3">
      <c r="L24" s="12"/>
      <c r="M24" s="12"/>
    </row>
    <row r="25" spans="2:13" ht="15" customHeight="1" x14ac:dyDescent="0.3">
      <c r="B25" s="67" t="s">
        <v>8</v>
      </c>
      <c r="C25" s="70" t="s">
        <v>30</v>
      </c>
      <c r="D25" s="71"/>
      <c r="E25" s="71"/>
      <c r="F25" s="72"/>
      <c r="G25" s="22">
        <v>11990</v>
      </c>
    </row>
    <row r="26" spans="2:13" ht="15" customHeight="1" x14ac:dyDescent="0.3">
      <c r="B26" s="68"/>
      <c r="C26" s="70" t="s">
        <v>29</v>
      </c>
      <c r="D26" s="71"/>
      <c r="E26" s="71"/>
      <c r="F26" s="72"/>
      <c r="G26" s="22">
        <v>24500</v>
      </c>
    </row>
    <row r="27" spans="2:13" ht="15" customHeight="1" x14ac:dyDescent="0.3">
      <c r="B27" s="68"/>
      <c r="C27" s="70" t="s">
        <v>28</v>
      </c>
      <c r="D27" s="71"/>
      <c r="E27" s="71"/>
      <c r="F27" s="72"/>
      <c r="G27" s="22">
        <v>50000</v>
      </c>
    </row>
    <row r="28" spans="2:13" x14ac:dyDescent="0.3">
      <c r="B28" s="68"/>
      <c r="C28" s="73" t="s">
        <v>27</v>
      </c>
      <c r="D28" s="74"/>
      <c r="E28" s="74"/>
      <c r="F28" s="75"/>
      <c r="G28" s="21">
        <v>140000</v>
      </c>
    </row>
    <row r="29" spans="2:13" ht="14.4" customHeight="1" x14ac:dyDescent="0.3">
      <c r="B29" s="68"/>
      <c r="C29" s="59" t="s">
        <v>26</v>
      </c>
      <c r="D29" s="60"/>
      <c r="E29" s="60"/>
      <c r="F29" s="61"/>
      <c r="G29" s="21">
        <v>35000</v>
      </c>
    </row>
    <row r="30" spans="2:13" x14ac:dyDescent="0.3">
      <c r="B30" s="68"/>
      <c r="C30" s="76" t="s">
        <v>25</v>
      </c>
      <c r="D30" s="77"/>
      <c r="E30" s="77"/>
      <c r="F30" s="78"/>
      <c r="G30" s="21">
        <v>65000</v>
      </c>
    </row>
    <row r="31" spans="2:13" x14ac:dyDescent="0.3">
      <c r="B31" s="68"/>
      <c r="C31" s="56" t="s">
        <v>11</v>
      </c>
      <c r="D31" s="57"/>
      <c r="E31" s="57"/>
      <c r="F31" s="58"/>
      <c r="G31" s="20">
        <f>SUM(G25:G30)</f>
        <v>326490</v>
      </c>
    </row>
    <row r="32" spans="2:13" x14ac:dyDescent="0.3">
      <c r="B32" s="68"/>
      <c r="C32" s="13"/>
      <c r="D32" s="13"/>
      <c r="E32" s="13"/>
      <c r="F32" s="13"/>
      <c r="G32" s="14"/>
    </row>
    <row r="33" spans="2:13" ht="16.5" customHeight="1" x14ac:dyDescent="0.3">
      <c r="B33" s="68"/>
      <c r="C33" s="13"/>
      <c r="D33" s="13"/>
      <c r="E33" s="13"/>
      <c r="F33" s="13"/>
      <c r="G33" s="14"/>
      <c r="L33" s="12"/>
      <c r="M33" s="12"/>
    </row>
    <row r="34" spans="2:13" x14ac:dyDescent="0.3">
      <c r="B34" s="69"/>
      <c r="C34" s="62"/>
      <c r="D34" s="62"/>
      <c r="E34" s="62"/>
      <c r="F34" s="62"/>
      <c r="L34" s="12"/>
      <c r="M34" s="12"/>
    </row>
    <row r="35" spans="2:13" x14ac:dyDescent="0.3">
      <c r="C35" s="62"/>
      <c r="D35" s="62"/>
      <c r="E35" s="62"/>
      <c r="F35" s="62"/>
      <c r="L35" s="12"/>
      <c r="M35" s="12"/>
    </row>
    <row r="36" spans="2:13" x14ac:dyDescent="0.3">
      <c r="C36" s="16"/>
      <c r="L36" s="12"/>
      <c r="M36" s="12"/>
    </row>
    <row r="38" spans="2:13" x14ac:dyDescent="0.3">
      <c r="B38" s="15"/>
    </row>
    <row r="39" spans="2:13" x14ac:dyDescent="0.3">
      <c r="B39" s="15"/>
    </row>
  </sheetData>
  <mergeCells count="14">
    <mergeCell ref="C35:F35"/>
    <mergeCell ref="B4:G4"/>
    <mergeCell ref="B15:E15"/>
    <mergeCell ref="B25:B34"/>
    <mergeCell ref="C25:F25"/>
    <mergeCell ref="C26:F26"/>
    <mergeCell ref="C28:F28"/>
    <mergeCell ref="C30:F30"/>
    <mergeCell ref="C27:F27"/>
    <mergeCell ref="C34:F34"/>
    <mergeCell ref="C31:F31"/>
    <mergeCell ref="C29:F29"/>
    <mergeCell ref="B1:J1"/>
    <mergeCell ref="B2:J2"/>
  </mergeCells>
  <phoneticPr fontId="9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Flujo de Caja GROWDER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CETECOM</dc:creator>
  <cp:lastModifiedBy>IGNACIO EDUARDO MANRIQUEZ VASQUEZ</cp:lastModifiedBy>
  <dcterms:created xsi:type="dcterms:W3CDTF">2022-10-18T13:55:40Z</dcterms:created>
  <dcterms:modified xsi:type="dcterms:W3CDTF">2026-09-28T22:00:32Z</dcterms:modified>
</cp:coreProperties>
</file>