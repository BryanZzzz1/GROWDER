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78AADE86-912A-415F-AC49-7F37C8845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jo de Caja GROWDE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9QGeFG5Gqp3kY+AwMrJGZdTOBFQ=="/>
    </ext>
  </extLst>
</workbook>
</file>

<file path=xl/calcChain.xml><?xml version="1.0" encoding="utf-8"?>
<calcChain xmlns="http://schemas.openxmlformats.org/spreadsheetml/2006/main">
  <c r="J15" i="3" l="1"/>
  <c r="J14" i="3"/>
  <c r="J12" i="3"/>
  <c r="J9" i="3"/>
  <c r="J10" i="3"/>
  <c r="J8" i="3"/>
  <c r="J6" i="3"/>
  <c r="C17" i="3"/>
  <c r="K32" i="3"/>
  <c r="G31" i="3"/>
  <c r="E10" i="3"/>
  <c r="J13" i="3"/>
  <c r="C12" i="3"/>
  <c r="F10" i="3"/>
  <c r="D10" i="3"/>
  <c r="D11" i="3" s="1"/>
  <c r="D21" i="3"/>
  <c r="D23" i="3" s="1"/>
  <c r="E21" i="3"/>
  <c r="E23" i="3" s="1"/>
  <c r="K31" i="3"/>
  <c r="C18" i="3" l="1"/>
  <c r="C21" i="3" s="1"/>
  <c r="C23" i="3" s="1"/>
  <c r="E11" i="3"/>
  <c r="F11" i="3" s="1"/>
  <c r="D12" i="3"/>
  <c r="F12" i="3" l="1"/>
  <c r="E12" i="3"/>
</calcChain>
</file>

<file path=xl/sharedStrings.xml><?xml version="1.0" encoding="utf-8"?>
<sst xmlns="http://schemas.openxmlformats.org/spreadsheetml/2006/main" count="55" uniqueCount="51">
  <si>
    <t>FORMULARIO FLUJO DE CAJA</t>
  </si>
  <si>
    <t>Todos los proyectos</t>
  </si>
  <si>
    <t>INGRESOS</t>
  </si>
  <si>
    <t>Sueldos Equipo Desarrollo</t>
  </si>
  <si>
    <t>Inversión</t>
  </si>
  <si>
    <t>Equipo</t>
  </si>
  <si>
    <t>Cargo</t>
  </si>
  <si>
    <t>Sueldo Mensual</t>
  </si>
  <si>
    <t>Valor Hora</t>
  </si>
  <si>
    <t>Egresos</t>
  </si>
  <si>
    <t>VAN</t>
  </si>
  <si>
    <t>TIR</t>
  </si>
  <si>
    <t>Sueldos</t>
  </si>
  <si>
    <t>Servicios</t>
  </si>
  <si>
    <t>Otros</t>
  </si>
  <si>
    <t>Total Egresos</t>
  </si>
  <si>
    <t>Flujo</t>
  </si>
  <si>
    <t>Total Otros</t>
  </si>
  <si>
    <t>BACKEND DEVELOPER SENIOR</t>
  </si>
  <si>
    <t xml:space="preserve"> LÍDER TÉCNICO/ARQUITECTO</t>
  </si>
  <si>
    <t xml:space="preserve"> FRONTEND DEVELOPER SENIOR</t>
  </si>
  <si>
    <t>QA/TESTER</t>
  </si>
  <si>
    <t>TOTALES DEL EQUIPO</t>
  </si>
  <si>
    <t xml:space="preserve"> </t>
  </si>
  <si>
    <t>Inversión inicial</t>
  </si>
  <si>
    <t>Ingresos esperados</t>
  </si>
  <si>
    <t>Costos operacionales</t>
  </si>
  <si>
    <t>Flujo neto de caja</t>
  </si>
  <si>
    <t>Flujo de caja acumulado</t>
  </si>
  <si>
    <t>Concepto</t>
  </si>
  <si>
    <t>Positivo?</t>
  </si>
  <si>
    <t>Tasa de descuento</t>
  </si>
  <si>
    <t>Periodo Flujos positivos</t>
  </si>
  <si>
    <t>Payback</t>
  </si>
  <si>
    <t>Flujos positivos</t>
  </si>
  <si>
    <t>Ganancia neta</t>
  </si>
  <si>
    <t>ROI:</t>
  </si>
  <si>
    <t>Materiales para validación con usuarios</t>
  </si>
  <si>
    <t>Conectividad móvil</t>
  </si>
  <si>
    <t>Movilización / traslados</t>
  </si>
  <si>
    <t>Reserva / servicios Cloud</t>
  </si>
  <si>
    <t>Registro Google Play Console</t>
  </si>
  <si>
    <t>Dominio .cl</t>
  </si>
  <si>
    <t>Contingencia</t>
  </si>
  <si>
    <t>Ignacio Manríquez</t>
  </si>
  <si>
    <t>Byran Silva</t>
  </si>
  <si>
    <t>Matias Medina</t>
  </si>
  <si>
    <t>Matias Rios</t>
  </si>
  <si>
    <t>/H  210</t>
  </si>
  <si>
    <t>/H  Proyecto</t>
  </si>
  <si>
    <t>/H  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</si>
</sst>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8" formatCode="&quot;$&quot;#,##0.00;[Red]&quot;$&quot;\-#,##0.00"/>
    <numFmt numFmtId="41" formatCode="_ * #,##0_ ;_ * \-#,##0_ ;_ * &quot;-&quot;_ ;_ @_ "/>
    <numFmt numFmtId="164" formatCode="&quot;$&quot;#,##0;[Red]\-&quot;$&quot;#,##0"/>
    <numFmt numFmtId="165" formatCode="_-&quot;$&quot;* #,##0.00_-;\-&quot;$&quot;* #,##0.00_-;_-&quot;$&quot;* &quot;-&quot;??_-;_-@_-"/>
    <numFmt numFmtId="166" formatCode="[$$]#,##0"/>
    <numFmt numFmtId="167" formatCode="_-&quot;$&quot;* #,##0_-;\-&quot;$&quot;* #,##0_-;_-&quot;$&quot;* &quot;-&quot;??_-;_-@_-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8"/>
        <bgColor rgb="FFFFE598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165" fontId="8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1" fontId="5" fillId="0" borderId="0" xfId="0" applyNumberFormat="1" applyFont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right"/>
    </xf>
    <xf numFmtId="0" fontId="6" fillId="0" borderId="7" xfId="0" applyFont="1" applyBorder="1"/>
    <xf numFmtId="166" fontId="5" fillId="0" borderId="7" xfId="0" applyNumberFormat="1" applyFont="1" applyBorder="1"/>
    <xf numFmtId="166" fontId="5" fillId="0" borderId="8" xfId="0" applyNumberFormat="1" applyFont="1" applyBorder="1"/>
    <xf numFmtId="0" fontId="6" fillId="0" borderId="0" xfId="0" applyFont="1"/>
    <xf numFmtId="9" fontId="5" fillId="0" borderId="0" xfId="0" applyNumberFormat="1" applyFont="1"/>
    <xf numFmtId="0" fontId="5" fillId="0" borderId="14" xfId="0" applyFont="1" applyBorder="1" applyAlignment="1">
      <alignment horizontal="center"/>
    </xf>
    <xf numFmtId="0" fontId="5" fillId="3" borderId="15" xfId="0" applyFont="1" applyFill="1" applyBorder="1"/>
    <xf numFmtId="166" fontId="5" fillId="3" borderId="16" xfId="0" applyNumberFormat="1" applyFont="1" applyFill="1" applyBorder="1"/>
    <xf numFmtId="166" fontId="5" fillId="3" borderId="17" xfId="0" applyNumberFormat="1" applyFont="1" applyFill="1" applyBorder="1"/>
    <xf numFmtId="0" fontId="5" fillId="0" borderId="0" xfId="0" applyFont="1" applyAlignment="1">
      <alignment wrapText="1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0" borderId="0" xfId="0" applyFont="1"/>
    <xf numFmtId="3" fontId="5" fillId="0" borderId="0" xfId="0" applyNumberFormat="1" applyFont="1"/>
    <xf numFmtId="0" fontId="3" fillId="6" borderId="18" xfId="0" applyFont="1" applyFill="1" applyBorder="1"/>
    <xf numFmtId="166" fontId="3" fillId="6" borderId="10" xfId="0" applyNumberFormat="1" applyFont="1" applyFill="1" applyBorder="1"/>
    <xf numFmtId="166" fontId="3" fillId="6" borderId="11" xfId="0" applyNumberFormat="1" applyFont="1" applyFill="1" applyBorder="1"/>
    <xf numFmtId="166" fontId="3" fillId="7" borderId="4" xfId="0" applyNumberFormat="1" applyFont="1" applyFill="1" applyBorder="1" applyAlignment="1">
      <alignment horizontal="right"/>
    </xf>
    <xf numFmtId="167" fontId="11" fillId="0" borderId="0" xfId="1" applyNumberFormat="1" applyFont="1"/>
    <xf numFmtId="0" fontId="12" fillId="0" borderId="7" xfId="0" applyFont="1" applyBorder="1"/>
    <xf numFmtId="167" fontId="1" fillId="0" borderId="0" xfId="1" applyNumberFormat="1" applyFont="1"/>
    <xf numFmtId="167" fontId="7" fillId="0" borderId="7" xfId="1" applyNumberFormat="1" applyFont="1" applyBorder="1"/>
    <xf numFmtId="167" fontId="6" fillId="0" borderId="7" xfId="1" applyNumberFormat="1" applyFont="1" applyBorder="1"/>
    <xf numFmtId="167" fontId="6" fillId="0" borderId="9" xfId="1" applyNumberFormat="1" applyFont="1" applyBorder="1"/>
    <xf numFmtId="166" fontId="12" fillId="0" borderId="9" xfId="0" applyNumberFormat="1" applyFont="1" applyBorder="1"/>
    <xf numFmtId="0" fontId="1" fillId="0" borderId="21" xfId="0" applyFont="1" applyBorder="1"/>
    <xf numFmtId="167" fontId="1" fillId="0" borderId="22" xfId="1" applyNumberFormat="1" applyFont="1" applyBorder="1"/>
    <xf numFmtId="167" fontId="1" fillId="0" borderId="21" xfId="1" applyNumberFormat="1" applyFont="1" applyBorder="1"/>
    <xf numFmtId="0" fontId="10" fillId="0" borderId="21" xfId="0" applyFont="1" applyBorder="1"/>
    <xf numFmtId="167" fontId="6" fillId="0" borderId="21" xfId="0" applyNumberFormat="1" applyFont="1" applyBorder="1"/>
    <xf numFmtId="0" fontId="0" fillId="0" borderId="26" xfId="0" applyBorder="1"/>
    <xf numFmtId="165" fontId="10" fillId="0" borderId="25" xfId="1" applyFont="1" applyBorder="1"/>
    <xf numFmtId="166" fontId="9" fillId="0" borderId="4" xfId="1" applyNumberFormat="1" applyFont="1" applyBorder="1" applyAlignment="1">
      <alignment horizontal="right"/>
    </xf>
    <xf numFmtId="164" fontId="1" fillId="0" borderId="21" xfId="0" applyNumberFormat="1" applyFont="1" applyBorder="1"/>
    <xf numFmtId="167" fontId="0" fillId="0" borderId="0" xfId="0" applyNumberFormat="1"/>
    <xf numFmtId="0" fontId="6" fillId="0" borderId="1" xfId="0" applyFont="1" applyBorder="1"/>
    <xf numFmtId="0" fontId="6" fillId="0" borderId="27" xfId="0" applyFont="1" applyBorder="1"/>
    <xf numFmtId="0" fontId="6" fillId="0" borderId="3" xfId="0" applyFont="1" applyBorder="1"/>
    <xf numFmtId="0" fontId="10" fillId="10" borderId="21" xfId="0" applyFont="1" applyFill="1" applyBorder="1" applyAlignment="1">
      <alignment horizontal="center" vertical="top"/>
    </xf>
    <xf numFmtId="0" fontId="0" fillId="11" borderId="29" xfId="0" applyFill="1" applyBorder="1"/>
    <xf numFmtId="6" fontId="0" fillId="11" borderId="21" xfId="0" applyNumberFormat="1" applyFill="1" applyBorder="1"/>
    <xf numFmtId="0" fontId="0" fillId="10" borderId="29" xfId="0" applyFill="1" applyBorder="1"/>
    <xf numFmtId="6" fontId="0" fillId="10" borderId="21" xfId="0" applyNumberFormat="1" applyFill="1" applyBorder="1"/>
    <xf numFmtId="6" fontId="16" fillId="10" borderId="21" xfId="0" applyNumberFormat="1" applyFont="1" applyFill="1" applyBorder="1"/>
    <xf numFmtId="6" fontId="16" fillId="11" borderId="21" xfId="0" applyNumberFormat="1" applyFont="1" applyFill="1" applyBorder="1"/>
    <xf numFmtId="0" fontId="0" fillId="10" borderId="21" xfId="0" applyFill="1" applyBorder="1"/>
    <xf numFmtId="0" fontId="15" fillId="10" borderId="21" xfId="0" applyFont="1" applyFill="1" applyBorder="1"/>
    <xf numFmtId="0" fontId="16" fillId="10" borderId="21" xfId="0" applyFont="1" applyFill="1" applyBorder="1"/>
    <xf numFmtId="0" fontId="10" fillId="12" borderId="31" xfId="0" applyFont="1" applyFill="1" applyBorder="1"/>
    <xf numFmtId="8" fontId="16" fillId="12" borderId="23" xfId="0" applyNumberFormat="1" applyFont="1" applyFill="1" applyBorder="1"/>
    <xf numFmtId="0" fontId="10" fillId="5" borderId="32" xfId="0" applyFont="1" applyFill="1" applyBorder="1"/>
    <xf numFmtId="9" fontId="0" fillId="5" borderId="24" xfId="0" applyNumberFormat="1" applyFill="1" applyBorder="1"/>
    <xf numFmtId="0" fontId="10" fillId="12" borderId="32" xfId="0" applyFont="1" applyFill="1" applyBorder="1"/>
    <xf numFmtId="9" fontId="0" fillId="12" borderId="24" xfId="0" applyNumberFormat="1" applyFill="1" applyBorder="1"/>
    <xf numFmtId="0" fontId="0" fillId="5" borderId="24" xfId="0" applyFill="1" applyBorder="1"/>
    <xf numFmtId="0" fontId="10" fillId="12" borderId="33" xfId="0" applyFont="1" applyFill="1" applyBorder="1"/>
    <xf numFmtId="0" fontId="0" fillId="12" borderId="25" xfId="0" applyFill="1" applyBorder="1"/>
    <xf numFmtId="0" fontId="10" fillId="9" borderId="33" xfId="0" applyFont="1" applyFill="1" applyBorder="1"/>
    <xf numFmtId="0" fontId="0" fillId="0" borderId="34" xfId="0" applyBorder="1"/>
    <xf numFmtId="0" fontId="10" fillId="13" borderId="35" xfId="0" applyFont="1" applyFill="1" applyBorder="1"/>
    <xf numFmtId="6" fontId="16" fillId="13" borderId="23" xfId="0" applyNumberFormat="1" applyFont="1" applyFill="1" applyBorder="1"/>
    <xf numFmtId="0" fontId="10" fillId="14" borderId="36" xfId="0" applyFont="1" applyFill="1" applyBorder="1"/>
    <xf numFmtId="6" fontId="0" fillId="14" borderId="24" xfId="0" applyNumberFormat="1" applyFill="1" applyBorder="1"/>
    <xf numFmtId="0" fontId="10" fillId="13" borderId="36" xfId="0" applyFont="1" applyFill="1" applyBorder="1"/>
    <xf numFmtId="6" fontId="16" fillId="13" borderId="24" xfId="0" applyNumberFormat="1" applyFont="1" applyFill="1" applyBorder="1"/>
    <xf numFmtId="0" fontId="10" fillId="14" borderId="37" xfId="0" applyFont="1" applyFill="1" applyBorder="1"/>
    <xf numFmtId="9" fontId="16" fillId="14" borderId="21" xfId="2" applyFont="1" applyFill="1" applyBorder="1"/>
    <xf numFmtId="6" fontId="17" fillId="11" borderId="21" xfId="0" applyNumberFormat="1" applyFont="1" applyFill="1" applyBorder="1"/>
    <xf numFmtId="0" fontId="18" fillId="10" borderId="21" xfId="0" applyFont="1" applyFill="1" applyBorder="1"/>
    <xf numFmtId="0" fontId="0" fillId="15" borderId="1" xfId="0" applyFill="1" applyBorder="1"/>
    <xf numFmtId="0" fontId="0" fillId="15" borderId="2" xfId="0" applyFill="1" applyBorder="1"/>
    <xf numFmtId="0" fontId="0" fillId="15" borderId="3" xfId="0" applyFill="1" applyBorder="1"/>
    <xf numFmtId="0" fontId="2" fillId="0" borderId="0" xfId="0" applyFont="1" applyAlignment="1">
      <alignment horizontal="center"/>
    </xf>
    <xf numFmtId="0" fontId="0" fillId="0" borderId="0" xfId="0"/>
    <xf numFmtId="0" fontId="3" fillId="7" borderId="1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5" fillId="0" borderId="2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20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8" borderId="46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5" fillId="0" borderId="45" xfId="0" applyFont="1" applyBorder="1"/>
    <xf numFmtId="0" fontId="5" fillId="0" borderId="42" xfId="0" applyFont="1" applyBorder="1"/>
    <xf numFmtId="0" fontId="5" fillId="0" borderId="43" xfId="0" applyFont="1" applyBorder="1"/>
    <xf numFmtId="0" fontId="5" fillId="0" borderId="44" xfId="0" applyFont="1" applyBorder="1"/>
    <xf numFmtId="0" fontId="5" fillId="0" borderId="38" xfId="0" applyFont="1" applyBorder="1"/>
    <xf numFmtId="0" fontId="5" fillId="0" borderId="39" xfId="0" applyFont="1" applyBorder="1"/>
    <xf numFmtId="0" fontId="5" fillId="0" borderId="40" xfId="0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9"/>
  <sheetViews>
    <sheetView tabSelected="1" topLeftCell="A2" zoomScale="85" zoomScaleNormal="85" workbookViewId="0">
      <selection activeCell="J16" sqref="J16"/>
    </sheetView>
  </sheetViews>
  <sheetFormatPr baseColWidth="10" defaultRowHeight="14.4" x14ac:dyDescent="0.3"/>
  <cols>
    <col min="2" max="2" width="23.44140625" customWidth="1"/>
    <col min="3" max="3" width="16.44140625" customWidth="1"/>
    <col min="4" max="4" width="16.109375" customWidth="1"/>
    <col min="5" max="5" width="17.33203125" customWidth="1"/>
    <col min="6" max="6" width="13.44140625" customWidth="1"/>
    <col min="7" max="7" width="14" customWidth="1"/>
    <col min="8" max="8" width="8.6640625" customWidth="1"/>
    <col min="9" max="9" width="19.33203125" customWidth="1"/>
    <col min="10" max="10" width="15.88671875" customWidth="1"/>
    <col min="11" max="11" width="15.33203125" customWidth="1"/>
    <col min="13" max="13" width="17.44140625" customWidth="1"/>
    <col min="15" max="15" width="12.88671875" bestFit="1" customWidth="1"/>
    <col min="16" max="16" width="19.5546875" bestFit="1" customWidth="1"/>
    <col min="17" max="17" width="32.88671875" bestFit="1" customWidth="1"/>
    <col min="18" max="18" width="38" customWidth="1"/>
    <col min="19" max="19" width="17.44140625" bestFit="1" customWidth="1"/>
    <col min="20" max="20" width="15.5546875" customWidth="1"/>
    <col min="21" max="21" width="18" customWidth="1"/>
  </cols>
  <sheetData>
    <row r="1" spans="2:10" ht="18" x14ac:dyDescent="0.35">
      <c r="B1" s="79" t="s">
        <v>0</v>
      </c>
      <c r="C1" s="80"/>
      <c r="D1" s="80"/>
      <c r="E1" s="80"/>
      <c r="F1" s="80"/>
      <c r="G1" s="80"/>
      <c r="H1" s="80"/>
      <c r="I1" s="80"/>
      <c r="J1" s="80"/>
    </row>
    <row r="2" spans="2:10" ht="18" x14ac:dyDescent="0.35">
      <c r="B2" s="79" t="s">
        <v>1</v>
      </c>
      <c r="C2" s="80"/>
      <c r="D2" s="80"/>
      <c r="E2" s="80"/>
      <c r="F2" s="80"/>
      <c r="G2" s="80"/>
      <c r="H2" s="80"/>
      <c r="I2" s="80"/>
      <c r="J2" s="80"/>
    </row>
    <row r="3" spans="2:10" ht="18" x14ac:dyDescent="0.35">
      <c r="B3" s="1"/>
      <c r="C3" s="1"/>
      <c r="D3" s="1"/>
      <c r="E3" s="1"/>
      <c r="F3" s="1"/>
      <c r="G3" s="1"/>
      <c r="H3" s="1"/>
      <c r="I3" s="1"/>
    </row>
    <row r="4" spans="2:10" x14ac:dyDescent="0.3">
      <c r="B4" s="88" t="s">
        <v>2</v>
      </c>
      <c r="C4" s="88"/>
      <c r="D4" s="88"/>
      <c r="E4" s="88"/>
      <c r="F4" s="88"/>
      <c r="G4" s="88"/>
    </row>
    <row r="5" spans="2:10" x14ac:dyDescent="0.3">
      <c r="B5" s="2"/>
    </row>
    <row r="6" spans="2:10" x14ac:dyDescent="0.3">
      <c r="B6" s="45" t="s">
        <v>29</v>
      </c>
      <c r="C6" s="45">
        <v>0</v>
      </c>
      <c r="D6" s="45">
        <v>1</v>
      </c>
      <c r="E6" s="45">
        <v>2</v>
      </c>
      <c r="F6" s="45">
        <v>3</v>
      </c>
      <c r="I6" s="55" t="s">
        <v>10</v>
      </c>
      <c r="J6" s="56">
        <f>NPV(J7,D10:F10)+C10</f>
        <v>12050024.425244175</v>
      </c>
    </row>
    <row r="7" spans="2:10" x14ac:dyDescent="0.3">
      <c r="B7" s="46" t="s">
        <v>24</v>
      </c>
      <c r="C7" s="47">
        <v>-10370890</v>
      </c>
      <c r="D7" s="47">
        <v>0</v>
      </c>
      <c r="E7" s="47">
        <v>0</v>
      </c>
      <c r="F7" s="47">
        <v>0</v>
      </c>
      <c r="I7" s="57" t="s">
        <v>31</v>
      </c>
      <c r="J7" s="58">
        <v>0.1</v>
      </c>
    </row>
    <row r="8" spans="2:10" x14ac:dyDescent="0.3">
      <c r="B8" s="48" t="s">
        <v>25</v>
      </c>
      <c r="C8" s="49">
        <v>0</v>
      </c>
      <c r="D8" s="50">
        <v>8328000</v>
      </c>
      <c r="E8" s="50">
        <v>9160800</v>
      </c>
      <c r="F8" s="50">
        <v>9893664</v>
      </c>
      <c r="I8" s="59" t="s">
        <v>11</v>
      </c>
      <c r="J8" s="60">
        <f>IRR(C10:F10)</f>
        <v>0.66554277058074152</v>
      </c>
    </row>
    <row r="9" spans="2:10" x14ac:dyDescent="0.3">
      <c r="B9" s="46" t="s">
        <v>26</v>
      </c>
      <c r="C9" s="47">
        <v>0</v>
      </c>
      <c r="D9" s="47">
        <v>-61990</v>
      </c>
      <c r="E9" s="47">
        <v>-61990</v>
      </c>
      <c r="F9" s="47">
        <v>-61990</v>
      </c>
      <c r="I9" s="57" t="s">
        <v>32</v>
      </c>
      <c r="J9" s="61">
        <f>IF(D11&gt;0,1,IF(E11&gt;0,2,IF(F11&gt;0,3,"No recupera")))</f>
        <v>2</v>
      </c>
    </row>
    <row r="10" spans="2:10" x14ac:dyDescent="0.3">
      <c r="B10" s="48" t="s">
        <v>27</v>
      </c>
      <c r="C10" s="49">
        <v>-10370890</v>
      </c>
      <c r="D10" s="50">
        <f>D8+D9</f>
        <v>8266010</v>
      </c>
      <c r="E10" s="50">
        <f t="shared" ref="E10" si="0">E8+E9</f>
        <v>9098810</v>
      </c>
      <c r="F10" s="50">
        <f>F8+F9</f>
        <v>9831674</v>
      </c>
      <c r="I10" s="62" t="s">
        <v>33</v>
      </c>
      <c r="J10" s="63">
        <f>1+ABS(D11)/E10</f>
        <v>1.2313357461030618</v>
      </c>
    </row>
    <row r="11" spans="2:10" x14ac:dyDescent="0.3">
      <c r="B11" s="46" t="s">
        <v>28</v>
      </c>
      <c r="C11" s="47">
        <v>-10370890</v>
      </c>
      <c r="D11" s="74">
        <f>D10+C11</f>
        <v>-2104880</v>
      </c>
      <c r="E11" s="51">
        <f>E10+D11</f>
        <v>6993930</v>
      </c>
      <c r="F11" s="51">
        <f>E11+F10</f>
        <v>16825604</v>
      </c>
      <c r="I11" s="64"/>
      <c r="J11" s="65"/>
    </row>
    <row r="12" spans="2:10" x14ac:dyDescent="0.3">
      <c r="B12" s="52" t="s">
        <v>30</v>
      </c>
      <c r="C12" s="53" t="str">
        <f>IF(C11&lt;0,"No","Si")</f>
        <v>No</v>
      </c>
      <c r="D12" s="53" t="str">
        <f t="shared" ref="D12:F12" si="1">IF(D11&lt;0,"No","Si")</f>
        <v>No</v>
      </c>
      <c r="E12" s="75" t="str">
        <f t="shared" si="1"/>
        <v>Si</v>
      </c>
      <c r="F12" s="54" t="str">
        <f t="shared" si="1"/>
        <v>Si</v>
      </c>
      <c r="I12" s="66" t="s">
        <v>34</v>
      </c>
      <c r="J12" s="67">
        <f>SUM(D10:F10)</f>
        <v>27196494</v>
      </c>
    </row>
    <row r="13" spans="2:10" x14ac:dyDescent="0.3">
      <c r="C13" s="10"/>
      <c r="I13" s="68" t="s">
        <v>4</v>
      </c>
      <c r="J13" s="69">
        <f>C7</f>
        <v>-10370890</v>
      </c>
    </row>
    <row r="14" spans="2:10" ht="15" thickBot="1" x14ac:dyDescent="0.35">
      <c r="C14" s="3"/>
      <c r="D14" s="3"/>
      <c r="E14" s="3"/>
      <c r="G14" s="11"/>
      <c r="I14" s="70" t="s">
        <v>35</v>
      </c>
      <c r="J14" s="71">
        <f>SUM(D10:F10)-ABS(C10)</f>
        <v>16825604</v>
      </c>
    </row>
    <row r="15" spans="2:10" ht="16.5" customHeight="1" thickTop="1" x14ac:dyDescent="0.3">
      <c r="B15" s="92" t="s">
        <v>9</v>
      </c>
      <c r="C15" s="93"/>
      <c r="D15" s="93"/>
      <c r="E15" s="94"/>
      <c r="I15" s="72" t="s">
        <v>36</v>
      </c>
      <c r="J15" s="73">
        <f>(SUM(D10:F10)-ABS(C10))/ABS(C10)</f>
        <v>1.6223876639324109</v>
      </c>
    </row>
    <row r="16" spans="2:10" x14ac:dyDescent="0.3">
      <c r="B16" s="76"/>
      <c r="C16" s="77"/>
      <c r="D16" s="77"/>
      <c r="E16" s="78"/>
    </row>
    <row r="17" spans="2:13" x14ac:dyDescent="0.3">
      <c r="B17" s="12" t="s">
        <v>12</v>
      </c>
      <c r="C17" s="8">
        <f>K32</f>
        <v>10004400</v>
      </c>
      <c r="D17" s="9">
        <v>0</v>
      </c>
      <c r="E17" s="9">
        <v>0</v>
      </c>
    </row>
    <row r="18" spans="2:13" x14ac:dyDescent="0.3">
      <c r="B18" s="12" t="s">
        <v>13</v>
      </c>
      <c r="C18" s="8">
        <f>G31</f>
        <v>326490</v>
      </c>
      <c r="D18" s="8">
        <v>0</v>
      </c>
      <c r="E18" s="9">
        <v>0</v>
      </c>
    </row>
    <row r="19" spans="2:13" x14ac:dyDescent="0.3">
      <c r="B19" s="12" t="s">
        <v>43</v>
      </c>
      <c r="C19" s="8">
        <v>40000</v>
      </c>
      <c r="D19" s="8">
        <v>0</v>
      </c>
      <c r="E19" s="9">
        <v>0</v>
      </c>
    </row>
    <row r="20" spans="2:13" x14ac:dyDescent="0.3">
      <c r="B20" s="12" t="s">
        <v>14</v>
      </c>
      <c r="C20" s="8">
        <v>0</v>
      </c>
      <c r="D20" s="8">
        <v>0</v>
      </c>
      <c r="E20" s="9">
        <v>0</v>
      </c>
    </row>
    <row r="21" spans="2:13" ht="22.5" customHeight="1" thickBot="1" x14ac:dyDescent="0.35">
      <c r="B21" s="13" t="s">
        <v>15</v>
      </c>
      <c r="C21" s="14">
        <f>SUM(C16:C20)</f>
        <v>10370890</v>
      </c>
      <c r="D21" s="14">
        <f>SUM(D16:D20)</f>
        <v>0</v>
      </c>
      <c r="E21" s="15">
        <f>SUM(E16:E20)</f>
        <v>0</v>
      </c>
    </row>
    <row r="22" spans="2:13" ht="15.6" thickTop="1" thickBot="1" x14ac:dyDescent="0.35">
      <c r="C22" s="3"/>
      <c r="D22" s="3"/>
      <c r="E22" s="3"/>
    </row>
    <row r="23" spans="2:13" ht="15.6" thickTop="1" thickBot="1" x14ac:dyDescent="0.35">
      <c r="B23" s="21" t="s">
        <v>16</v>
      </c>
      <c r="C23" s="22" t="e">
        <f>+#REF!-C21</f>
        <v>#REF!</v>
      </c>
      <c r="D23" s="22" t="e">
        <f>+#REF!-D21</f>
        <v>#REF!</v>
      </c>
      <c r="E23" s="23" t="e">
        <f>+#REF!-E21</f>
        <v>#REF!</v>
      </c>
    </row>
    <row r="24" spans="2:13" ht="15" thickTop="1" x14ac:dyDescent="0.3">
      <c r="L24" s="16"/>
      <c r="M24" s="16"/>
    </row>
    <row r="25" spans="2:13" ht="15" customHeight="1" x14ac:dyDescent="0.3">
      <c r="B25" s="95" t="s">
        <v>14</v>
      </c>
      <c r="C25" s="98" t="s">
        <v>42</v>
      </c>
      <c r="D25" s="99"/>
      <c r="E25" s="99"/>
      <c r="F25" s="100"/>
      <c r="G25" s="40">
        <v>11990</v>
      </c>
      <c r="I25" s="89" t="s">
        <v>3</v>
      </c>
      <c r="J25" s="90"/>
      <c r="K25" s="90"/>
      <c r="L25" s="90"/>
      <c r="M25" s="91"/>
    </row>
    <row r="26" spans="2:13" ht="15" customHeight="1" x14ac:dyDescent="0.3">
      <c r="B26" s="96"/>
      <c r="C26" s="98" t="s">
        <v>41</v>
      </c>
      <c r="D26" s="99"/>
      <c r="E26" s="99"/>
      <c r="F26" s="100"/>
      <c r="G26" s="40">
        <v>24500</v>
      </c>
      <c r="I26" s="4" t="s">
        <v>5</v>
      </c>
      <c r="J26" s="5" t="s">
        <v>6</v>
      </c>
      <c r="K26" s="5" t="s">
        <v>7</v>
      </c>
      <c r="L26" s="6" t="s">
        <v>8</v>
      </c>
      <c r="M26" s="5" t="s">
        <v>49</v>
      </c>
    </row>
    <row r="27" spans="2:13" ht="15" customHeight="1" x14ac:dyDescent="0.3">
      <c r="B27" s="96"/>
      <c r="C27" s="98" t="s">
        <v>40</v>
      </c>
      <c r="D27" s="99"/>
      <c r="E27" s="99"/>
      <c r="F27" s="100"/>
      <c r="G27" s="40">
        <v>50000</v>
      </c>
      <c r="I27" s="7" t="s">
        <v>44</v>
      </c>
      <c r="J27" s="7" t="s">
        <v>19</v>
      </c>
      <c r="K27" s="28">
        <v>720000</v>
      </c>
      <c r="L27" s="25">
        <v>12000</v>
      </c>
      <c r="M27" s="7" t="s">
        <v>48</v>
      </c>
    </row>
    <row r="28" spans="2:13" ht="15.6" x14ac:dyDescent="0.3">
      <c r="B28" s="96"/>
      <c r="C28" s="101" t="s">
        <v>39</v>
      </c>
      <c r="D28" s="102"/>
      <c r="E28" s="102"/>
      <c r="F28" s="103"/>
      <c r="G28" s="39">
        <v>140000</v>
      </c>
      <c r="I28" s="7" t="s">
        <v>45</v>
      </c>
      <c r="J28" s="26" t="s">
        <v>18</v>
      </c>
      <c r="K28" s="25">
        <v>734400</v>
      </c>
      <c r="L28" s="29">
        <v>12240</v>
      </c>
      <c r="M28" s="7" t="s">
        <v>48</v>
      </c>
    </row>
    <row r="29" spans="2:13" ht="14.4" customHeight="1" x14ac:dyDescent="0.3">
      <c r="B29" s="96"/>
      <c r="C29" s="84" t="s">
        <v>38</v>
      </c>
      <c r="D29" s="85"/>
      <c r="E29" s="85"/>
      <c r="F29" s="86"/>
      <c r="G29" s="39">
        <v>35000</v>
      </c>
      <c r="I29" s="44" t="s">
        <v>46</v>
      </c>
      <c r="J29" s="31" t="s">
        <v>20</v>
      </c>
      <c r="K29" s="30">
        <v>702000</v>
      </c>
      <c r="L29" s="27">
        <v>11700</v>
      </c>
      <c r="M29" s="7" t="s">
        <v>48</v>
      </c>
    </row>
    <row r="30" spans="2:13" x14ac:dyDescent="0.3">
      <c r="B30" s="96"/>
      <c r="C30" s="104" t="s">
        <v>37</v>
      </c>
      <c r="D30" s="105"/>
      <c r="E30" s="105"/>
      <c r="F30" s="106"/>
      <c r="G30" s="39">
        <v>65000</v>
      </c>
      <c r="I30" s="42" t="s">
        <v>47</v>
      </c>
      <c r="J30" s="32" t="s">
        <v>21</v>
      </c>
      <c r="K30" s="33">
        <v>702000</v>
      </c>
      <c r="L30" s="34">
        <v>11700</v>
      </c>
      <c r="M30" s="7" t="s">
        <v>48</v>
      </c>
    </row>
    <row r="31" spans="2:13" x14ac:dyDescent="0.3">
      <c r="B31" s="96"/>
      <c r="C31" s="81" t="s">
        <v>17</v>
      </c>
      <c r="D31" s="82"/>
      <c r="E31" s="82"/>
      <c r="F31" s="83"/>
      <c r="G31" s="24">
        <f>SUM(G25:G30)</f>
        <v>326490</v>
      </c>
      <c r="I31" s="35" t="s">
        <v>22</v>
      </c>
      <c r="J31" s="38" t="s">
        <v>23</v>
      </c>
      <c r="K31" s="36">
        <f>SUM(K27:K30)</f>
        <v>2858400</v>
      </c>
      <c r="L31" s="37"/>
      <c r="M31" s="43" t="s">
        <v>50</v>
      </c>
    </row>
    <row r="32" spans="2:13" x14ac:dyDescent="0.3">
      <c r="B32" s="96"/>
      <c r="C32" s="17"/>
      <c r="D32" s="17"/>
      <c r="E32" s="17"/>
      <c r="F32" s="17"/>
      <c r="G32" s="18"/>
      <c r="K32" s="41">
        <f>K31*3.5</f>
        <v>10004400</v>
      </c>
    </row>
    <row r="33" spans="2:13" ht="16.5" customHeight="1" x14ac:dyDescent="0.3">
      <c r="B33" s="96"/>
      <c r="C33" s="17"/>
      <c r="D33" s="17"/>
      <c r="E33" s="17"/>
      <c r="F33" s="17"/>
      <c r="G33" s="18"/>
      <c r="L33" s="16"/>
      <c r="M33" s="16"/>
    </row>
    <row r="34" spans="2:13" x14ac:dyDescent="0.3">
      <c r="B34" s="97"/>
      <c r="C34" s="87"/>
      <c r="D34" s="87"/>
      <c r="E34" s="87"/>
      <c r="F34" s="87"/>
      <c r="L34" s="16"/>
      <c r="M34" s="16"/>
    </row>
    <row r="35" spans="2:13" x14ac:dyDescent="0.3">
      <c r="C35" s="87"/>
      <c r="D35" s="87"/>
      <c r="E35" s="87"/>
      <c r="F35" s="87"/>
      <c r="L35" s="16"/>
      <c r="M35" s="16"/>
    </row>
    <row r="36" spans="2:13" x14ac:dyDescent="0.3">
      <c r="C36" s="20"/>
      <c r="L36" s="16"/>
      <c r="M36" s="16"/>
    </row>
    <row r="38" spans="2:13" x14ac:dyDescent="0.3">
      <c r="B38" s="19"/>
    </row>
    <row r="39" spans="2:13" x14ac:dyDescent="0.3">
      <c r="B39" s="19"/>
    </row>
  </sheetData>
  <mergeCells count="15">
    <mergeCell ref="C35:F35"/>
    <mergeCell ref="B4:G4"/>
    <mergeCell ref="I25:M25"/>
    <mergeCell ref="B15:E15"/>
    <mergeCell ref="B25:B34"/>
    <mergeCell ref="C25:F25"/>
    <mergeCell ref="C26:F26"/>
    <mergeCell ref="C28:F28"/>
    <mergeCell ref="C30:F30"/>
    <mergeCell ref="C27:F27"/>
    <mergeCell ref="B1:J1"/>
    <mergeCell ref="B2:J2"/>
    <mergeCell ref="C31:F31"/>
    <mergeCell ref="C29:F29"/>
    <mergeCell ref="C34:F34"/>
  </mergeCells>
  <phoneticPr fontId="1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de Caja GROWDER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CETECOM</dc:creator>
  <cp:lastModifiedBy>IGNACIO EDUARDO MANRIQUEZ VASQUEZ</cp:lastModifiedBy>
  <dcterms:created xsi:type="dcterms:W3CDTF">2022-10-18T13:55:40Z</dcterms:created>
  <dcterms:modified xsi:type="dcterms:W3CDTF">2026-09-28T22:06:43Z</dcterms:modified>
</cp:coreProperties>
</file>